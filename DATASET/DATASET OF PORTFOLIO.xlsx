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gh\OneDrive\Desktop\ncu\Investment-Portfolio-Performance-Analysis\"/>
    </mc:Choice>
  </mc:AlternateContent>
  <xr:revisionPtr revIDLastSave="0" documentId="13_ncr:1_{EC719B6E-AA3A-4AF9-BF2B-26A462A2D4F4}" xr6:coauthVersionLast="47" xr6:coauthVersionMax="47" xr10:uidLastSave="{00000000-0000-0000-0000-000000000000}"/>
  <bookViews>
    <workbookView xWindow="-108" yWindow="-108" windowWidth="23256" windowHeight="13176" xr2:uid="{3470AE3A-46D8-4916-AB04-743491ACC3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1" l="1"/>
  <c r="H8" i="1" s="1"/>
  <c r="I8" i="1" s="1"/>
  <c r="E8" i="1"/>
  <c r="G7" i="1"/>
  <c r="H7" i="1" s="1"/>
  <c r="I7" i="1" s="1"/>
  <c r="E7" i="1"/>
  <c r="G6" i="1"/>
  <c r="H6" i="1" s="1"/>
  <c r="I6" i="1" s="1"/>
  <c r="E6" i="1"/>
  <c r="G5" i="1"/>
  <c r="H5" i="1" s="1"/>
  <c r="I5" i="1" s="1"/>
  <c r="E5" i="1"/>
  <c r="G4" i="1"/>
  <c r="H4" i="1" s="1"/>
  <c r="I4" i="1" s="1"/>
  <c r="E4" i="1"/>
  <c r="G3" i="1"/>
  <c r="H3" i="1" s="1"/>
  <c r="I3" i="1" s="1"/>
  <c r="E3" i="1"/>
  <c r="G2" i="1"/>
  <c r="H2" i="1" s="1"/>
  <c r="I2" i="1" s="1"/>
  <c r="E2" i="1"/>
</calcChain>
</file>

<file path=xl/sharedStrings.xml><?xml version="1.0" encoding="utf-8"?>
<sst xmlns="http://schemas.openxmlformats.org/spreadsheetml/2006/main" count="23" uniqueCount="23">
  <si>
    <t>Company Name</t>
  </si>
  <si>
    <t>Sector</t>
  </si>
  <si>
    <t>Quantity
Purchased</t>
  </si>
  <si>
    <t>Purchase Price
(3rd August, ₹)</t>
  </si>
  <si>
    <t>Amount
Invested (₹)</t>
  </si>
  <si>
    <t>Price on
4 Aug (₹)</t>
  </si>
  <si>
    <t>Current Value (₹)</t>
  </si>
  <si>
    <t>Gain / Loss (₹)</t>
  </si>
  <si>
    <t>Gain / Loss (%)</t>
  </si>
  <si>
    <t>Divi's Laboratories Ltd</t>
  </si>
  <si>
    <t>Healthcare</t>
  </si>
  <si>
    <t>Interglobe Aviation Ltd</t>
  </si>
  <si>
    <t xml:space="preserve">Aviation </t>
  </si>
  <si>
    <t>Larsen &amp; Toubro Limited</t>
  </si>
  <si>
    <t>Construction Sector</t>
  </si>
  <si>
    <t xml:space="preserve">Siemens </t>
  </si>
  <si>
    <t>Industrial Sector</t>
  </si>
  <si>
    <t xml:space="preserve">Ashok Leyland </t>
  </si>
  <si>
    <t xml:space="preserve">Automotive Sector </t>
  </si>
  <si>
    <t>Eternal</t>
  </si>
  <si>
    <t xml:space="preserve">E-commerce </t>
  </si>
  <si>
    <t>Bajaj Finserv</t>
  </si>
  <si>
    <t xml:space="preserve">Financial Services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</si>
</sst>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\-"/>
    <numFmt numFmtId="165" formatCode="0.00%;\(0.00%\);\-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2E5C8A"/>
        <bgColor rgb="FF2E5C8A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rgb="FFFFFF00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0" xfId="0" applyFill="1"/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164" fontId="2" fillId="4" borderId="5" xfId="0" applyNumberFormat="1" applyFont="1" applyFill="1" applyBorder="1" applyAlignment="1">
      <alignment horizontal="center" vertical="center"/>
    </xf>
    <xf numFmtId="164" fontId="2" fillId="5" borderId="5" xfId="0" applyNumberFormat="1" applyFont="1" applyFill="1" applyBorder="1" applyAlignment="1">
      <alignment horizontal="center" vertical="center"/>
    </xf>
    <xf numFmtId="165" fontId="2" fillId="5" borderId="6" xfId="0" applyNumberFormat="1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164" fontId="2" fillId="6" borderId="5" xfId="0" applyNumberFormat="1" applyFont="1" applyFill="1" applyBorder="1" applyAlignment="1">
      <alignment horizontal="center" vertical="center"/>
    </xf>
    <xf numFmtId="164" fontId="2" fillId="7" borderId="5" xfId="0" applyNumberFormat="1" applyFont="1" applyFill="1" applyBorder="1" applyAlignment="1">
      <alignment horizontal="center" vertical="center"/>
    </xf>
    <xf numFmtId="165" fontId="2" fillId="7" borderId="6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164" fontId="2" fillId="4" borderId="8" xfId="0" applyNumberFormat="1" applyFont="1" applyFill="1" applyBorder="1" applyAlignment="1">
      <alignment horizontal="center" vertical="center"/>
    </xf>
    <xf numFmtId="164" fontId="2" fillId="5" borderId="8" xfId="0" applyNumberFormat="1" applyFont="1" applyFill="1" applyBorder="1" applyAlignment="1">
      <alignment horizontal="center" vertical="center"/>
    </xf>
    <xf numFmtId="165" fontId="2" fillId="5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0.00%;\(0.00%\);\-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/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#,##0.00;\(#,##0.00\);\-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#,##0.00;\(#,##0.00\);\-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#,##0.00;\(#,##0.00\);\-"/>
      <fill>
        <patternFill patternType="solid">
          <fgColor rgb="FFFFFF0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#,##0.00;\(#,##0.00\);\-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#,##0.00;\(#,##0.00\);\-"/>
      <fill>
        <patternFill patternType="solid">
          <fgColor rgb="FFFFFF0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rgb="FFFFFF0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rgb="FFFFFF0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rgb="FFFFFF0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2E5C8A"/>
          <bgColor rgb="FF2E5C8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C397AB-11BA-4437-97F6-7858D83B517E}" name="Table1" displayName="Table1" ref="A1:I8" totalsRowShown="0" headerRowDxfId="13" dataDxfId="0" headerRowBorderDxfId="12" tableBorderDxfId="11" totalsRowBorderDxfId="10">
  <autoFilter ref="A1:I8" xr:uid="{85C397AB-11BA-4437-97F6-7858D83B517E}"/>
  <tableColumns count="9">
    <tableColumn id="1" xr3:uid="{37856579-E5D7-4776-8B32-ABDE55C25F38}" name="Company Name" dataDxfId="9"/>
    <tableColumn id="2" xr3:uid="{8AF9D50B-B69C-4228-8278-70515C8A1B9A}" name="Sector" dataDxfId="8"/>
    <tableColumn id="3" xr3:uid="{D3E3BA0E-F95F-4264-A87A-8524137D3292}" name="Quantity_x000a_Purchased" dataDxfId="7"/>
    <tableColumn id="4" xr3:uid="{C7DF7F2A-83CE-4BEF-BF02-E32746071BEA}" name="Purchase Price_x000a_(3rd August, ₹)" dataDxfId="6"/>
    <tableColumn id="5" xr3:uid="{E8162BA4-F06F-4DC3-89B4-055F756F3C05}" name="Amount_x000a_Invested (₹)" dataDxfId="5">
      <calculatedColumnFormula>IF(AND(C2&lt;&gt;"",D2&lt;&gt;""),C2*D2,"")</calculatedColumnFormula>
    </tableColumn>
    <tableColumn id="6" xr3:uid="{72628B61-C2B0-4EB4-8098-3115D9336628}" name="Price on_x000a_4 Aug (₹)" dataDxfId="4"/>
    <tableColumn id="7" xr3:uid="{AC8F7C5E-257F-445B-AA22-933A0DEDFB6B}" name="Current Value (₹)" dataDxfId="3">
      <calculatedColumnFormula>IF(AND(C2&lt;&gt;"",F2&lt;&gt;""),C2*F2,"")</calculatedColumnFormula>
    </tableColumn>
    <tableColumn id="8" xr3:uid="{8756F644-6B24-4999-8B60-41796FCB92CA}" name="Gain / Loss (₹)" dataDxfId="2">
      <calculatedColumnFormula>IF(AND(G2&lt;&gt;"",E2&lt;&gt;""),G2-E2,"")</calculatedColumnFormula>
    </tableColumn>
    <tableColumn id="9" xr3:uid="{C0DED8D9-E6EC-432D-A1EA-A486E90942F4}" name="Gain / Loss (%)" dataDxfId="1">
      <calculatedColumnFormula>IF(AND(H2&lt;&gt;"",E2&lt;&gt;"",E2&lt;&gt;0),H2/E2,"")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62E8D-F4B5-4F40-A3E7-9BC1B1D06D9F}">
  <dimension ref="A1:I8"/>
  <sheetViews>
    <sheetView tabSelected="1" zoomScale="130" zoomScaleNormal="130" workbookViewId="0">
      <selection activeCell="C10" sqref="C10"/>
    </sheetView>
  </sheetViews>
  <sheetFormatPr defaultRowHeight="14.4" x14ac:dyDescent="0.3"/>
  <cols>
    <col min="1" max="1" width="22.21875" bestFit="1" customWidth="1"/>
    <col min="2" max="2" width="16.44140625" bestFit="1" customWidth="1"/>
    <col min="3" max="3" width="12.88671875" bestFit="1" customWidth="1"/>
    <col min="4" max="4" width="16.33203125" bestFit="1" customWidth="1"/>
    <col min="5" max="5" width="15.6640625" bestFit="1" customWidth="1"/>
    <col min="6" max="6" width="13.33203125" bestFit="1" customWidth="1"/>
    <col min="7" max="7" width="16" bestFit="1" customWidth="1"/>
    <col min="8" max="8" width="15.33203125" bestFit="1" customWidth="1"/>
    <col min="9" max="9" width="13.33203125" bestFit="1" customWidth="1"/>
  </cols>
  <sheetData>
    <row r="1" spans="1:9" ht="26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3">
      <c r="A2" s="5" t="s">
        <v>9</v>
      </c>
      <c r="B2" s="6" t="s">
        <v>10</v>
      </c>
      <c r="C2" s="6">
        <v>40</v>
      </c>
      <c r="D2" s="7">
        <v>8182.5</v>
      </c>
      <c r="E2" s="8">
        <f t="shared" ref="E2:E8" si="0">IF(AND(C2&lt;&gt;"",D2&lt;&gt;""),C2*D2,"")</f>
        <v>327300</v>
      </c>
      <c r="F2" s="7">
        <v>8378</v>
      </c>
      <c r="G2" s="8">
        <f t="shared" ref="G2:G8" si="1">IF(AND(C2&lt;&gt;"",F2&lt;&gt;""),C2*F2,"")</f>
        <v>335120</v>
      </c>
      <c r="H2" s="8">
        <f t="shared" ref="H2:H8" si="2">IF(AND(G2&lt;&gt;"",E2&lt;&gt;""),G2-E2,"")</f>
        <v>7820</v>
      </c>
      <c r="I2" s="9">
        <f t="shared" ref="I2:I8" si="3">IF(AND(H2&lt;&gt;"",E2&lt;&gt;"",E2&lt;&gt;0),H2/E2,"")</f>
        <v>2.3892453406660557E-2</v>
      </c>
    </row>
    <row r="3" spans="1:9" s="4" customFormat="1" x14ac:dyDescent="0.3">
      <c r="A3" s="10" t="s">
        <v>11</v>
      </c>
      <c r="B3" s="11" t="s">
        <v>12</v>
      </c>
      <c r="C3" s="11">
        <v>30</v>
      </c>
      <c r="D3" s="12">
        <v>5346</v>
      </c>
      <c r="E3" s="13">
        <f t="shared" si="0"/>
        <v>160380</v>
      </c>
      <c r="F3" s="12">
        <v>5358</v>
      </c>
      <c r="G3" s="13">
        <f t="shared" si="1"/>
        <v>160740</v>
      </c>
      <c r="H3" s="13">
        <f t="shared" si="2"/>
        <v>360</v>
      </c>
      <c r="I3" s="14">
        <f t="shared" si="3"/>
        <v>2.2446689113355782E-3</v>
      </c>
    </row>
    <row r="4" spans="1:9" s="4" customFormat="1" x14ac:dyDescent="0.3">
      <c r="A4" s="5" t="s">
        <v>13</v>
      </c>
      <c r="B4" s="6" t="s">
        <v>14</v>
      </c>
      <c r="C4" s="6">
        <v>35</v>
      </c>
      <c r="D4" s="7">
        <v>3980</v>
      </c>
      <c r="E4" s="8">
        <f t="shared" si="0"/>
        <v>139300</v>
      </c>
      <c r="F4" s="7">
        <v>3990</v>
      </c>
      <c r="G4" s="8">
        <f t="shared" si="1"/>
        <v>139650</v>
      </c>
      <c r="H4" s="8">
        <f t="shared" si="2"/>
        <v>350</v>
      </c>
      <c r="I4" s="9">
        <f t="shared" si="3"/>
        <v>2.5125628140703518E-3</v>
      </c>
    </row>
    <row r="5" spans="1:9" s="4" customFormat="1" x14ac:dyDescent="0.3">
      <c r="A5" s="10" t="s">
        <v>15</v>
      </c>
      <c r="B5" s="11" t="s">
        <v>16</v>
      </c>
      <c r="C5" s="11">
        <v>33</v>
      </c>
      <c r="D5" s="12">
        <v>3734.6</v>
      </c>
      <c r="E5" s="13">
        <f t="shared" si="0"/>
        <v>123241.8</v>
      </c>
      <c r="F5" s="12">
        <v>4000.5</v>
      </c>
      <c r="G5" s="13">
        <f t="shared" si="1"/>
        <v>132016.5</v>
      </c>
      <c r="H5" s="13">
        <f t="shared" si="2"/>
        <v>8774.6999999999971</v>
      </c>
      <c r="I5" s="14">
        <f t="shared" si="3"/>
        <v>7.119905746264657E-2</v>
      </c>
    </row>
    <row r="6" spans="1:9" s="4" customFormat="1" x14ac:dyDescent="0.3">
      <c r="A6" s="5" t="s">
        <v>17</v>
      </c>
      <c r="B6" s="6" t="s">
        <v>18</v>
      </c>
      <c r="C6" s="6">
        <v>151</v>
      </c>
      <c r="D6" s="7">
        <v>171.72</v>
      </c>
      <c r="E6" s="8">
        <f t="shared" si="0"/>
        <v>25929.72</v>
      </c>
      <c r="F6" s="7">
        <v>172.08</v>
      </c>
      <c r="G6" s="8">
        <f t="shared" si="1"/>
        <v>25984.080000000002</v>
      </c>
      <c r="H6" s="8">
        <f t="shared" si="2"/>
        <v>54.360000000000582</v>
      </c>
      <c r="I6" s="9">
        <f t="shared" si="3"/>
        <v>2.0964360587002319E-3</v>
      </c>
    </row>
    <row r="7" spans="1:9" s="4" customFormat="1" x14ac:dyDescent="0.3">
      <c r="A7" s="10" t="s">
        <v>19</v>
      </c>
      <c r="B7" s="11" t="s">
        <v>20</v>
      </c>
      <c r="C7" s="11">
        <v>76</v>
      </c>
      <c r="D7" s="12">
        <v>305</v>
      </c>
      <c r="E7" s="13">
        <f t="shared" si="0"/>
        <v>23180</v>
      </c>
      <c r="F7" s="12">
        <v>312.39999999999998</v>
      </c>
      <c r="G7" s="13">
        <f t="shared" si="1"/>
        <v>23742.399999999998</v>
      </c>
      <c r="H7" s="13">
        <f t="shared" si="2"/>
        <v>562.39999999999782</v>
      </c>
      <c r="I7" s="14">
        <f t="shared" si="3"/>
        <v>2.426229508196712E-2</v>
      </c>
    </row>
    <row r="8" spans="1:9" s="4" customFormat="1" x14ac:dyDescent="0.3">
      <c r="A8" s="15" t="s">
        <v>21</v>
      </c>
      <c r="B8" s="16" t="s">
        <v>22</v>
      </c>
      <c r="C8" s="16">
        <v>98</v>
      </c>
      <c r="D8" s="17">
        <v>2047.4</v>
      </c>
      <c r="E8" s="18">
        <f t="shared" si="0"/>
        <v>200645.2</v>
      </c>
      <c r="F8" s="17">
        <v>2105</v>
      </c>
      <c r="G8" s="18">
        <f t="shared" si="1"/>
        <v>206290</v>
      </c>
      <c r="H8" s="18">
        <f t="shared" si="2"/>
        <v>5644.7999999999884</v>
      </c>
      <c r="I8" s="19">
        <f t="shared" si="3"/>
        <v>2.8133242160789235E-2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Singhal</dc:creator>
  <cp:lastModifiedBy>Sahil Singhal</cp:lastModifiedBy>
  <dcterms:created xsi:type="dcterms:W3CDTF">2026-08-04T15:27:46Z</dcterms:created>
  <dcterms:modified xsi:type="dcterms:W3CDTF">2026-08-12T17:54:36Z</dcterms:modified>
</cp:coreProperties>
</file>